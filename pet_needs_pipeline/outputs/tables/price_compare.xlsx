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정" sheetId="1" state="visible" r:id="rId1"/>
    <sheet xmlns:r="http://schemas.openxmlformats.org/officeDocument/2006/relationships" name="가격조사" sheetId="2" state="visible" r:id="rId2"/>
    <sheet xmlns:r="http://schemas.openxmlformats.org/officeDocument/2006/relationships" name="대안별 총비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1" fillId="0" borderId="0" applyAlignment="1" pivotButton="0" quotePrefix="0" xfId="0">
      <alignment vertical="top" wrapText="1"/>
    </xf>
    <xf numFmtId="3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비교 기간(개월)</t>
        </is>
      </c>
      <c r="B2" s="3" t="n">
        <v>36</v>
      </c>
      <c r="C2" s="2" t="inlineStr">
        <is>
          <t>총비용을 계산할 사용 기간 (로봇청소기 수명 3년 가정, 변경 가능)</t>
        </is>
      </c>
    </row>
    <row r="3">
      <c r="A3" s="2" t="inlineStr">
        <is>
          <t>환율(원/USD)</t>
        </is>
      </c>
      <c r="B3" s="4" t="n">
        <v>1400</v>
      </c>
      <c r="C3" s="2" t="inlineStr">
        <is>
          <t>가정값. 퍼보 한국 정가를 못 찾아 미국 정가를 환산. 실제 환율로 바꿀 것</t>
        </is>
      </c>
    </row>
    <row r="4">
      <c r="A4" s="2" t="inlineStr">
        <is>
          <t>펫시터 주당 방문 횟수</t>
        </is>
      </c>
      <c r="B4" s="5" t="n">
        <v>3</v>
      </c>
      <c r="C4" s="2" t="inlineStr">
        <is>
          <t>혼자 있는 평일 중 방문 횟수 가정</t>
        </is>
      </c>
    </row>
    <row r="5">
      <c r="A5" s="2" t="inlineStr">
        <is>
          <t>펫시터 1회 요금(원)</t>
        </is>
      </c>
      <c r="B5" s="5" t="n">
        <v>28000</v>
      </c>
      <c r="C5" s="2" t="inlineStr">
        <is>
          <t>숨고 방문 펫시터 평균 28,000원 (최저 20,000 / 최고 40,000)</t>
        </is>
      </c>
    </row>
    <row r="6">
      <c r="A6" s="2" t="inlineStr">
        <is>
          <t>우리 제품 하드웨어 추가금(원)</t>
        </is>
      </c>
      <c r="B6" s="6" t="n">
        <v>0</v>
      </c>
      <c r="C6" s="2" t="inlineStr">
        <is>
          <t>미정 — 간식 수납·배출 장치 원가(R4)가 나오면 입력. 0 = ThinQ 소프트웨어 업데이트만</t>
        </is>
      </c>
    </row>
    <row r="7">
      <c r="A7" s="2" t="inlineStr">
        <is>
          <t>우리 제품 월 구독료(원)</t>
        </is>
      </c>
      <c r="B7" s="6" t="n">
        <v>5000</v>
      </c>
      <c r="C7" s="2" t="inlineStr">
        <is>
          <t>미정 — 설문(H12 Van Westendorp) 결과로 교체. 현재는 임시 가정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0" customWidth="1" min="5" max="5"/>
    <col width="28" customWidth="1" min="6" max="6"/>
  </cols>
  <sheetData>
    <row r="1">
      <c r="A1" s="1" t="inlineStr">
        <is>
          <t>구분</t>
        </is>
      </c>
      <c r="B1" s="1" t="inlineStr">
        <is>
          <t>제품·항목</t>
        </is>
      </c>
      <c r="C1" s="1" t="inlineStr">
        <is>
          <t>가격(원)</t>
        </is>
      </c>
      <c r="D1" s="1" t="inlineStr">
        <is>
          <t>가격 기준</t>
        </is>
      </c>
      <c r="E1" s="1" t="inlineStr">
        <is>
          <t>출처</t>
        </is>
      </c>
      <c r="F1" s="1" t="inlineStr">
        <is>
          <t>신뢰도·비고</t>
        </is>
      </c>
    </row>
    <row r="2">
      <c r="A2" s="2" t="inlineStr">
        <is>
          <t>LG 로봇청소기</t>
        </is>
      </c>
      <c r="B2" s="2" t="inlineStr">
        <is>
          <t>코드제로 R5 오브제컬렉션 (LG전자 공식몰 판매가)</t>
        </is>
      </c>
      <c r="C2" s="7" t="n">
        <v>570000</v>
      </c>
      <c r="D2" s="2" t="inlineStr">
        <is>
          <t>정상가 90만원에서 36% 할인</t>
        </is>
      </c>
      <c r="E2" s="2" t="inlineStr">
        <is>
          <t>https://www.lge.co.kr/vacuum-cleaners/r585wka1</t>
        </is>
      </c>
      <c r="F2" s="2" t="inlineStr">
        <is>
          <t>검색 요약 인용. 공식 페이지는 접속 차단으로 직접 확인 못 함 → 팀이 최신가 재확인 필요</t>
        </is>
      </c>
    </row>
    <row r="3">
      <c r="A3" s="2" t="inlineStr">
        <is>
          <t>LG 로봇청소기</t>
        </is>
      </c>
      <c r="B3" s="2" t="inlineStr">
        <is>
          <t>코드제로 R5 (타 판매처 회원할인 적용)</t>
        </is>
      </c>
      <c r="C3" s="7" t="n">
        <v>460000</v>
      </c>
      <c r="D3" s="2" t="inlineStr">
        <is>
          <t>판매가 69만원 − 회원할인 23만원</t>
        </is>
      </c>
      <c r="E3" s="2" t="inlineStr">
        <is>
          <t>https://plan.danawa.com/info/?nPlanSeq=7608</t>
        </is>
      </c>
      <c r="F3" s="2" t="inlineStr">
        <is>
          <t>2차 요약. 판매처 조건부 가격</t>
        </is>
      </c>
    </row>
    <row r="4">
      <c r="A4" s="2" t="inlineStr">
        <is>
          <t>LG 로봇청소기</t>
        </is>
      </c>
      <c r="B4" s="2" t="inlineStr">
        <is>
          <t>코드제로 R5 정상가</t>
        </is>
      </c>
      <c r="C4" s="7" t="n">
        <v>900000</v>
      </c>
      <c r="D4" s="2" t="inlineStr">
        <is>
          <t>할인 전 판매가</t>
        </is>
      </c>
      <c r="E4" s="2" t="inlineStr">
        <is>
          <t>https://www.lge.co.kr/product/vacuum-cleaners/a720wa</t>
        </is>
      </c>
      <c r="F4" s="2" t="inlineStr">
        <is>
          <t>표기된 할인 전 판매가 (모델 일치 확인 필요)</t>
        </is>
      </c>
    </row>
    <row r="5">
      <c r="A5" s="2" t="inlineStr">
        <is>
          <t>LG 로봇청소기</t>
        </is>
      </c>
      <c r="B5" s="2" t="inlineStr">
        <is>
          <t>코드제로 오브제컬렉션 R9 올인원타워 출하가</t>
        </is>
      </c>
      <c r="C5" s="7" t="n">
        <v>1590000</v>
      </c>
      <c r="D5" s="2" t="inlineStr">
        <is>
          <t>오브제 색상 159만 / 아이언그레이 149만</t>
        </is>
      </c>
      <c r="E5" s="2" t="inlineStr">
        <is>
          <t>https://www.lg.co.kr/media/release/25385</t>
        </is>
      </c>
      <c r="F5" s="2" t="inlineStr">
        <is>
          <t>보도자료 기반 출하가</t>
        </is>
      </c>
    </row>
    <row r="6">
      <c r="A6" s="2" t="inlineStr">
        <is>
          <t>LG 로봇청소기</t>
        </is>
      </c>
      <c r="B6" s="2" t="inlineStr">
        <is>
          <t>코드제로 R9 (다나와 최저가, G마켓)</t>
        </is>
      </c>
      <c r="C6" s="7" t="n">
        <v>1017270</v>
      </c>
      <c r="D6" s="2" t="inlineStr">
        <is>
          <t>실구매가 사례 (판매가 1,374,000 / 최대혜택가 1,088,100)</t>
        </is>
      </c>
      <c r="E6" s="2" t="inlineStr">
        <is>
          <t>https://prod.danawa.com/info/?pcode=17978366</t>
        </is>
      </c>
      <c r="F6" s="2" t="inlineStr">
        <is>
          <t>시점·모델(RO965WB) 변동 큼. 재확인 필요</t>
        </is>
      </c>
    </row>
    <row r="7">
      <c r="A7" s="2" t="inlineStr">
        <is>
          <t>경쟁 로봇청소기</t>
        </is>
      </c>
      <c r="B7" s="2" t="inlineStr">
        <is>
          <t>삼성 비스포크 AI 스팀 일반형 출고가(하한)</t>
        </is>
      </c>
      <c r="C7" s="7" t="n">
        <v>1410000</v>
      </c>
      <c r="D7" s="2" t="inlineStr">
        <is>
          <t>141만~159만원</t>
        </is>
      </c>
      <c r="E7" s="2" t="inlineStr">
        <is>
          <t>https://www.dailian.co.kr/news/view/1654746/</t>
        </is>
      </c>
      <c r="F7" s="2" t="inlineStr">
        <is>
          <t>경쟁사 참고용 (비교표에는 미포함)</t>
        </is>
      </c>
    </row>
    <row r="8">
      <c r="A8" s="2" t="inlineStr">
        <is>
          <t>경쟁 로봇청소기</t>
        </is>
      </c>
      <c r="B8" s="2" t="inlineStr">
        <is>
          <t>에코백스 디봇 T30 프로 옴니</t>
        </is>
      </c>
      <c r="C8" s="7" t="n">
        <v>599000</v>
      </c>
      <c r="D8" s="2" t="inlineStr">
        <is>
          <t>판매 사례가</t>
        </is>
      </c>
      <c r="E8" s="2" t="inlineStr">
        <is>
          <t>https://www.smarttoday.co.kr/ko-kr/articles/74140</t>
        </is>
      </c>
      <c r="F8" s="2" t="inlineStr">
        <is>
          <t>프로모션 사례. 경쟁사 참고용</t>
        </is>
      </c>
    </row>
    <row r="9">
      <c r="A9" s="2" t="inlineStr">
        <is>
          <t>일반 펫캠</t>
        </is>
      </c>
      <c r="B9" s="2" t="inlineStr">
        <is>
          <t>샤오미 MJSXJ05CM</t>
        </is>
      </c>
      <c r="C9" s="7" t="n">
        <v>37500</v>
      </c>
      <c r="D9" s="2" t="inlineStr">
        <is>
          <t>3.5만~4만원 중간값</t>
        </is>
      </c>
      <c r="E9" s="2" t="inlineStr">
        <is>
          <t>https://wikidocs.net/blog/@dognyang/24526/</t>
        </is>
      </c>
      <c r="F9" s="2" t="inlineStr">
        <is>
          <t>블로그 정보. 구독료 없음</t>
        </is>
      </c>
    </row>
    <row r="10">
      <c r="A10" s="2" t="inlineStr">
        <is>
          <t>일반 펫캠</t>
        </is>
      </c>
      <c r="B10" s="2" t="inlineStr">
        <is>
          <t>TP-Link Tapo C210 (2K 팬틸트)</t>
        </is>
      </c>
      <c r="C10" s="7" t="n">
        <v>45900</v>
      </c>
      <c r="D10" s="2" t="inlineStr">
        <is>
          <t>판매가</t>
        </is>
      </c>
      <c r="E10" s="2" t="inlineStr">
        <is>
          <t>https://wikidocs.net/blog/@dognyang/24526/</t>
        </is>
      </c>
      <c r="F10" s="2" t="inlineStr">
        <is>
          <t>블로그 정보. 로컬 SD 저장, 구독 없이 사용</t>
        </is>
      </c>
    </row>
    <row r="11">
      <c r="A11" s="2" t="inlineStr">
        <is>
          <t>일반 펫캠</t>
        </is>
      </c>
      <c r="B11" s="2" t="inlineStr">
        <is>
          <t>캠플러스 미지아 IPC-013</t>
        </is>
      </c>
      <c r="C11" s="7" t="n">
        <v>65000</v>
      </c>
      <c r="D11" s="2" t="inlineStr">
        <is>
          <t>6.5만원 전후</t>
        </is>
      </c>
      <c r="E11" s="2" t="inlineStr">
        <is>
          <t>https://wikidocs.net/blog/@dognyang/24526/</t>
        </is>
      </c>
      <c r="F11" s="2" t="inlineStr">
        <is>
          <t>블로그 정보</t>
        </is>
      </c>
    </row>
    <row r="12">
      <c r="A12" s="2" t="inlineStr">
        <is>
          <t>간식 디스펜서 펫캠</t>
        </is>
      </c>
      <c r="B12" s="2" t="inlineStr">
        <is>
          <t>펫킷 얌쉐어 (1080P 카메라 AI 급식기)</t>
        </is>
      </c>
      <c r="C12" s="7" t="n">
        <v>199000</v>
      </c>
      <c r="D12" s="2" t="inlineStr">
        <is>
          <t>쿠팡 할인가</t>
        </is>
      </c>
      <c r="E12" s="2" t="inlineStr">
        <is>
          <t>https://www.coupang.com/vp/products/8999350932</t>
        </is>
      </c>
      <c r="F12" s="2" t="inlineStr">
        <is>
          <t>쿠팡 검색 요약. 간식 '투척' 방식인지는 미확인 (급식기)</t>
        </is>
      </c>
    </row>
    <row r="13">
      <c r="A13" s="2" t="inlineStr">
        <is>
          <t>간식 디스펜서 펫캠</t>
        </is>
      </c>
      <c r="B13" s="2" t="inlineStr">
        <is>
          <t>IOT 스마트 자동급식기 (카메라 내장)</t>
        </is>
      </c>
      <c r="C13" s="7" t="n">
        <v>96500</v>
      </c>
      <c r="D13" s="2" t="inlineStr">
        <is>
          <t>쿠팡 할인가</t>
        </is>
      </c>
      <c r="E13" s="2" t="inlineStr">
        <is>
          <t>https://www.coupang.com/vp/products/8362062812</t>
        </is>
      </c>
      <c r="F13" s="2" t="inlineStr">
        <is>
          <t>쿠팡 검색 요약. 일반 급식기에 가까움</t>
        </is>
      </c>
    </row>
    <row r="14">
      <c r="A14" s="2" t="inlineStr">
        <is>
          <t>간식 디스펜서 펫캠</t>
        </is>
      </c>
      <c r="B14" s="2" t="inlineStr">
        <is>
          <t>Furbo 360° 기기 (미국 정가 $199 × 환율)</t>
        </is>
      </c>
      <c r="C14" s="7">
        <f>199*가정!B3</f>
        <v/>
      </c>
      <c r="D14" s="2" t="inlineStr">
        <is>
          <t>$199 MSRP (행사 시 $149~179)</t>
        </is>
      </c>
      <c r="E14" s="2" t="inlineStr">
        <is>
          <t>https://furbo.com/us/products/furbo-dog-cam-360</t>
        </is>
      </c>
      <c r="F14" s="2" t="inlineStr">
        <is>
          <t>한국 원화 정가는 못 찾음 → 환산값. 한국 판매가 재확인 필요</t>
        </is>
      </c>
    </row>
    <row r="15">
      <c r="A15" s="2" t="inlineStr">
        <is>
          <t>간식 디스펜서 펫캠</t>
        </is>
      </c>
      <c r="B15" s="2" t="inlineStr">
        <is>
          <t>Furbo Nanny 구독 Basic (월, $6.99 × 환율)</t>
        </is>
      </c>
      <c r="C15" s="7">
        <f>6.99*가정!B3</f>
        <v/>
      </c>
      <c r="D15" s="2" t="inlineStr">
        <is>
          <t>월 $6.99 (연 $83.88) / Premium $9.99</t>
        </is>
      </c>
      <c r="E15" s="2" t="inlineStr">
        <is>
          <t>https://thesmartsnout.com/2026/02/03/furbo-360-dog-camera-price-review-2026/</t>
        </is>
      </c>
      <c r="F15" s="2" t="inlineStr">
        <is>
          <t>구독 없이도 라이브뷰·수동 양방향·수동 간식 가능, 녹화·알림은 구독 필요</t>
        </is>
      </c>
    </row>
    <row r="16">
      <c r="A16" s="2" t="inlineStr">
        <is>
          <t>펫시터</t>
        </is>
      </c>
      <c r="B16" s="2" t="inlineStr">
        <is>
          <t>방문 펫시터 1회 (숨고 평균)</t>
        </is>
      </c>
      <c r="C16" s="7" t="n">
        <v>28000</v>
      </c>
      <c r="D16" s="2" t="inlineStr">
        <is>
          <t>건당, 최저 20,000 / 최고 40,000</t>
        </is>
      </c>
      <c r="E16" s="2" t="inlineStr">
        <is>
          <t>https://soomgo.com/a.%EB%B6%80%EC%82%B0-%EC%82%AC%ED%95%98%EA%B5%AC/%ED%8E%AB-%EC%8B%9C%ED%84%B0-%EB%B0%A9%EB%AC%B8</t>
        </is>
      </c>
      <c r="F16" s="2" t="inlineStr">
        <is>
          <t>시간·지역별 상이</t>
        </is>
      </c>
    </row>
    <row r="17">
      <c r="A17" s="2" t="inlineStr">
        <is>
          <t>펫시터</t>
        </is>
      </c>
      <c r="B17" s="2" t="inlineStr">
        <is>
          <t>와요 방문 펫시터 60분</t>
        </is>
      </c>
      <c r="C17" s="7" t="n">
        <v>28500</v>
      </c>
      <c r="D17" s="2" t="inlineStr">
        <is>
          <t>30분 19,500 / 120분 42,000</t>
        </is>
      </c>
      <c r="E17" s="2" t="inlineStr">
        <is>
          <t>https://apps.apple.com/us/app/%ED%8E%AB%EC%8B%9C%ED%84%B0-%EC%82%B0%EC%B1%85-%EB%B0%A9%EB%AC%B8%ED%83%81%EB%AC%98-%EC%BA%A3%EC%8B%9C%ED%84%B0-%EC%95%A0%EA%B2%AC%ED%98%B8%ED%85%94-%EB%B0%98%EB%A0%A4%EB%8F%99%EB%AC%BC-%ED%8E%AB%EB%B3%B4%ED%97%98/id1598224377?l=ko</t>
        </is>
      </c>
      <c r="F17" s="2" t="inlineStr">
        <is>
          <t>플랫폼 표기 시작가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0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대안</t>
        </is>
      </c>
      <c r="B1" s="1" t="inlineStr">
        <is>
          <t>구성</t>
        </is>
      </c>
      <c r="C1" s="1" t="inlineStr">
        <is>
          <t>초기 비용(원)</t>
        </is>
      </c>
      <c r="D1" s="1" t="inlineStr">
        <is>
          <t>월 비용(원)</t>
        </is>
      </c>
      <c r="E1" s="1" t="inlineStr">
        <is>
          <t>총비용(기간, 원)</t>
        </is>
      </c>
      <c r="F1" s="1" t="inlineStr">
        <is>
          <t>월평균 환산(원)</t>
        </is>
      </c>
      <c r="G1" s="1" t="inlineStr">
        <is>
          <t>우리 제품 대비(원, 같은 R5/R9 기준끼리)</t>
        </is>
      </c>
      <c r="H1" s="1" t="inlineStr">
        <is>
          <t>비고</t>
        </is>
      </c>
    </row>
    <row r="2">
      <c r="A2" s="2" t="inlineStr">
        <is>
          <t>① 일반 로봇청소기 + 일반 펫캠</t>
        </is>
      </c>
      <c r="B2" s="2" t="inlineStr">
        <is>
          <t>LG R5 + Tapo C210</t>
        </is>
      </c>
      <c r="C2" s="7">
        <f>가격조사!C2+가격조사!C10</f>
        <v/>
      </c>
      <c r="D2" s="7">
        <f>0</f>
        <v/>
      </c>
      <c r="E2" s="7">
        <f>C2+D2*가정!$B$2</f>
        <v/>
      </c>
      <c r="F2" s="7">
        <f>E2/가정!$B$2</f>
        <v/>
      </c>
      <c r="G2" s="7">
        <f>E2-E$7</f>
        <v/>
      </c>
      <c r="H2" s="2" t="inlineStr">
        <is>
          <t>구독 없음. 간식 투척·로봇 연동 없음</t>
        </is>
      </c>
    </row>
    <row r="3">
      <c r="A3" s="2" t="inlineStr">
        <is>
          <t>② 로봇청소기 + 간식디스펜서 펫캠(국내)</t>
        </is>
      </c>
      <c r="B3" s="2" t="inlineStr">
        <is>
          <t>LG R5 + 펫킷 얌쉐어</t>
        </is>
      </c>
      <c r="C3" s="7">
        <f>가격조사!C2+가격조사!C12</f>
        <v/>
      </c>
      <c r="D3" s="7">
        <f>0</f>
        <v/>
      </c>
      <c r="E3" s="7">
        <f>C3+D3*가정!$B$2</f>
        <v/>
      </c>
      <c r="F3" s="7">
        <f>E3/가정!$B$2</f>
        <v/>
      </c>
      <c r="G3" s="7">
        <f>E3-E$7</f>
        <v/>
      </c>
      <c r="H3" s="2" t="inlineStr">
        <is>
          <t>급식기형. 투척 여부 미확인</t>
        </is>
      </c>
    </row>
    <row r="4">
      <c r="A4" s="2" t="inlineStr">
        <is>
          <t>③ 로봇청소기 + 퍼보(구독 포함)</t>
        </is>
      </c>
      <c r="B4" s="2" t="inlineStr">
        <is>
          <t>LG R5 + Furbo 360 + Nanny Basic</t>
        </is>
      </c>
      <c r="C4" s="7">
        <f>가격조사!C2+가격조사!C14</f>
        <v/>
      </c>
      <c r="D4" s="7">
        <f>가격조사!C15</f>
        <v/>
      </c>
      <c r="E4" s="7">
        <f>C4+D4*가정!$B$2</f>
        <v/>
      </c>
      <c r="F4" s="7">
        <f>E4/가정!$B$2</f>
        <v/>
      </c>
      <c r="G4" s="7">
        <f>E4-E$7</f>
        <v/>
      </c>
      <c r="H4" s="2" t="inlineStr">
        <is>
          <t>한국 정가 미확인 → 환산값</t>
        </is>
      </c>
    </row>
    <row r="5">
      <c r="A5" s="2" t="inlineStr">
        <is>
          <t>④ 프리미엄 로봇청소기 + 퍼보(구독 포함)</t>
        </is>
      </c>
      <c r="B5" s="2" t="inlineStr">
        <is>
          <t>LG R9(최저가) + Furbo 360 + Nanny Basic</t>
        </is>
      </c>
      <c r="C5" s="7">
        <f>가격조사!C6+가격조사!C14</f>
        <v/>
      </c>
      <c r="D5" s="7">
        <f>가격조사!C15</f>
        <v/>
      </c>
      <c r="E5" s="7">
        <f>C5+D5*가정!$B$2</f>
        <v/>
      </c>
      <c r="F5" s="7">
        <f>E5/가정!$B$2</f>
        <v/>
      </c>
      <c r="G5" s="7">
        <f>E5-E$8</f>
        <v/>
      </c>
      <c r="H5" s="2" t="inlineStr">
        <is>
          <t>R9 가격은 변동 큼</t>
        </is>
      </c>
    </row>
    <row r="6">
      <c r="A6" s="2" t="inlineStr">
        <is>
          <t>⑤ 펫시터 방문</t>
        </is>
      </c>
      <c r="B6" s="2" t="inlineStr">
        <is>
          <t>LG R5 + 방문 펫시터 (주 N회)</t>
        </is>
      </c>
      <c r="C6" s="7">
        <f>가격조사!C2</f>
        <v/>
      </c>
      <c r="D6" s="7">
        <f>가정!B4*가정!B5*52/12</f>
        <v/>
      </c>
      <c r="E6" s="7">
        <f>C6+D6*가정!$B$2</f>
        <v/>
      </c>
      <c r="F6" s="7">
        <f>E6/가정!$B$2</f>
        <v/>
      </c>
      <c r="G6" s="7">
        <f>E6-E$7</f>
        <v/>
      </c>
      <c r="H6" s="2" t="inlineStr">
        <is>
          <t>펫시터 횟수·단가는 가정 시트에서 조정</t>
        </is>
      </c>
    </row>
    <row r="7">
      <c r="A7" s="2" t="inlineStr">
        <is>
          <t>⑥ 우리 제품 (R5 기반)</t>
        </is>
      </c>
      <c r="B7" s="2" t="inlineStr">
        <is>
          <t>LG R5 + 펫케어 기능(하드웨어 추가금 + 월 구독)</t>
        </is>
      </c>
      <c r="C7" s="7">
        <f>가격조사!C2+가정!B6</f>
        <v/>
      </c>
      <c r="D7" s="7">
        <f>가정!B7</f>
        <v/>
      </c>
      <c r="E7" s="7">
        <f>C7+D7*가정!$B$2</f>
        <v/>
      </c>
      <c r="F7" s="7">
        <f>E7/가정!$B$2</f>
        <v/>
      </c>
      <c r="G7" s="7" t="inlineStr"/>
      <c r="H7" s="2" t="inlineStr">
        <is>
          <t>추가금·구독료는 미정(가정값)</t>
        </is>
      </c>
    </row>
    <row r="8">
      <c r="A8" s="2" t="inlineStr">
        <is>
          <t>⑦ 우리 제품 (R9 기반)</t>
        </is>
      </c>
      <c r="B8" s="2" t="inlineStr">
        <is>
          <t>LG R9(최저가) + 펫케어 기능</t>
        </is>
      </c>
      <c r="C8" s="7">
        <f>가격조사!C6+가정!B6</f>
        <v/>
      </c>
      <c r="D8" s="7">
        <f>가정!B7</f>
        <v/>
      </c>
      <c r="E8" s="7">
        <f>C8+D8*가정!$B$2</f>
        <v/>
      </c>
      <c r="F8" s="7">
        <f>E8/가정!$B$2</f>
        <v/>
      </c>
      <c r="G8" s="7" t="inlineStr"/>
      <c r="H8" s="2" t="inlineStr">
        <is>
          <t>추가금·구독료는 미정(가정값)</t>
        </is>
      </c>
    </row>
    <row r="9">
      <c r="A9" s="2" t="n"/>
      <c r="B9" s="2" t="n"/>
      <c r="C9" s="7" t="n"/>
      <c r="D9" s="7" t="n"/>
      <c r="E9" s="7" t="n"/>
      <c r="F9" s="7" t="n"/>
      <c r="G9" s="7" t="n"/>
      <c r="H9" s="2" t="n"/>
    </row>
    <row r="10">
      <c r="A10" s="2" t="inlineStr">
        <is>
          <t>주의</t>
        </is>
      </c>
      <c r="B10" s="2" t="inlineStr">
        <is>
          <t>총비용 = 초기 비용 + 월 비용 × 비교 기간. 대안①~④는 '우리 제품'과 같은 R5/R9 기준끼리 비교(④·⑦은 R9 기준, ①~③·⑤·⑥은 R5 기준).</t>
        </is>
      </c>
      <c r="C10" s="7" t="n"/>
      <c r="D10" s="7" t="n"/>
      <c r="E10" s="7" t="n"/>
      <c r="F10" s="7" t="n"/>
      <c r="G10" s="7" t="n"/>
      <c r="H10" s="2" t="n"/>
    </row>
    <row r="11">
      <c r="A11" s="2" t="inlineStr"/>
      <c r="B11" s="2" t="inlineStr">
        <is>
          <t>가격은 검색 요약 기반이고 공식몰·다나와는 접속 차단으로 직접 확인하지 못했다. 발표 전에 최신가·구독 조건을 재확인할 것.</t>
        </is>
      </c>
      <c r="C11" s="7" t="n"/>
      <c r="D11" s="7" t="n"/>
      <c r="E11" s="7" t="n"/>
      <c r="F11" s="7" t="n"/>
      <c r="G11" s="7" t="n"/>
      <c r="H11" s="2" t="n"/>
    </row>
    <row r="12">
      <c r="A12" s="2" t="inlineStr"/>
      <c r="B12" s="2" t="inlineStr">
        <is>
          <t>비용만 비교한 표이다. '더 높은 가치'(H14)는 비용 차이만으로 판단할 수 없고, 설문 선호(우리 제품 선호 &gt; 대안 선호)와 함께 제시해야 한다.</t>
        </is>
      </c>
      <c r="C12" s="7" t="n"/>
      <c r="D12" s="7" t="n"/>
      <c r="E12" s="7" t="n"/>
      <c r="F12" s="7" t="n"/>
      <c r="G12" s="7" t="n"/>
      <c r="H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2026-10-01T08:49:32Z</dcterms:created>
  <dcterms:modified xmlns:dcterms="http://purl.org/dc/terms/" xmlns:xsi="http://www.w3.org/2001/XMLSchema-instance" xsi:type="dcterms:W3CDTF">2026-10-01T08:49:32Z</dcterms:modified>
</cp:coreProperties>
</file>